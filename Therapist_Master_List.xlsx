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Lists" sheetId="1" state="hidden" r:id="rId3"/>
    <sheet name="Therapist List" sheetId="2" state="visible" r:id="rId4"/>
    <sheet name="Field Guide" sheetId="3" state="visible" r:id="rId5"/>
  </sheets>
  <definedNames>
    <definedName function="false" hidden="true" localSheetId="1" name="_xlnm._FilterDatabase" vbProcedure="false">'Therapist List'!$A$1:$W$22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<sst xmlns="http://schemas.openxmlformats.org/spreadsheetml/2006/main" count="398" uniqueCount="151">
  <si>
    <t xml:space="preserve">Availability</t>
  </si>
  <si>
    <t xml:space="preserve">Modality</t>
  </si>
  <si>
    <t xml:space="preserve">Location</t>
  </si>
  <si>
    <t xml:space="preserve">Days</t>
  </si>
  <si>
    <t xml:space="preserve">YesNo</t>
  </si>
  <si>
    <t xml:space="preserve">Available</t>
  </si>
  <si>
    <t xml:space="preserve">In-Person</t>
  </si>
  <si>
    <t xml:space="preserve">Commack</t>
  </si>
  <si>
    <t xml:space="preserve">Mon</t>
  </si>
  <si>
    <t xml:space="preserve">X</t>
  </si>
  <si>
    <t xml:space="preserve">Full</t>
  </si>
  <si>
    <t xml:space="preserve">Telehealth</t>
  </si>
  <si>
    <t xml:space="preserve">Jericho</t>
  </si>
  <si>
    <t xml:space="preserve">Tue</t>
  </si>
  <si>
    <t xml:space="preserve">Not Taking</t>
  </si>
  <si>
    <t xml:space="preserve">Hybrid</t>
  </si>
  <si>
    <t xml:space="preserve">Ronkonkoma</t>
  </si>
  <si>
    <t xml:space="preserve">Wed</t>
  </si>
  <si>
    <t xml:space="preserve">Commack, Jericho</t>
  </si>
  <si>
    <t xml:space="preserve">Thu</t>
  </si>
  <si>
    <t xml:space="preserve">Commack, Ronkonkoma</t>
  </si>
  <si>
    <t xml:space="preserve">Fri</t>
  </si>
  <si>
    <t xml:space="preserve">Sat</t>
  </si>
  <si>
    <t xml:space="preserve">Mon, Tue</t>
  </si>
  <si>
    <t xml:space="preserve">Mon, Wed</t>
  </si>
  <si>
    <t xml:space="preserve">Mon, Thu</t>
  </si>
  <si>
    <t xml:space="preserve">Mon, Fri</t>
  </si>
  <si>
    <t xml:space="preserve">Tue, Thu</t>
  </si>
  <si>
    <t xml:space="preserve">Mon, Wed, Fri</t>
  </si>
  <si>
    <t xml:space="preserve">Tue, Thu, Fri</t>
  </si>
  <si>
    <t xml:space="preserve">Mon, Tue, Wed</t>
  </si>
  <si>
    <t xml:space="preserve">Mon, Tue, Wed, Thu</t>
  </si>
  <si>
    <t xml:space="preserve">Mon, Tue, Wed, Thu, Fri</t>
  </si>
  <si>
    <t xml:space="preserve">Therapist</t>
  </si>
  <si>
    <t xml:space="preserve">Min Age</t>
  </si>
  <si>
    <t xml:space="preserve">Conditions</t>
  </si>
  <si>
    <t xml:space="preserve">Approaches</t>
  </si>
  <si>
    <t xml:space="preserve">Exclusions</t>
  </si>
  <si>
    <t xml:space="preserve">EMDR</t>
  </si>
  <si>
    <t xml:space="preserve">In-Person Days</t>
  </si>
  <si>
    <t xml:space="preserve">Notes</t>
  </si>
  <si>
    <t xml:space="preserve">Last Updated</t>
  </si>
  <si>
    <t xml:space="preserve">Updated By</t>
  </si>
  <si>
    <t xml:space="preserve">Str8 Medicaid</t>
  </si>
  <si>
    <t xml:space="preserve">Medicare</t>
  </si>
  <si>
    <t xml:space="preserve">Fidelis</t>
  </si>
  <si>
    <t xml:space="preserve">Healthfirst</t>
  </si>
  <si>
    <t xml:space="preserve">NWD</t>
  </si>
  <si>
    <t xml:space="preserve">BCBS</t>
  </si>
  <si>
    <t xml:space="preserve">Cigna</t>
  </si>
  <si>
    <t xml:space="preserve">Optum</t>
  </si>
  <si>
    <t xml:space="preserve">Aetna</t>
  </si>
  <si>
    <t xml:space="preserve">1199</t>
  </si>
  <si>
    <t xml:space="preserve">Summary</t>
  </si>
  <si>
    <t xml:space="preserve">Allison Graver, LMHC-D*</t>
  </si>
  <si>
    <t xml:space="preserve">OCD, anxiety, depression</t>
  </si>
  <si>
    <t xml:space="preserve">CBT, DBT, ERP</t>
  </si>
  <si>
    <t xml:space="preserve">2026-02-23</t>
  </si>
  <si>
    <t xml:space="preserve">Admin</t>
  </si>
  <si>
    <t xml:space="preserve">Available:</t>
  </si>
  <si>
    <t xml:space="preserve">Amanda Mosher, LMHC*</t>
  </si>
  <si>
    <t xml:space="preserve">trauma</t>
  </si>
  <si>
    <t xml:space="preserve">CBT, DBT</t>
  </si>
  <si>
    <t xml:space="preserve">family, couples</t>
  </si>
  <si>
    <t xml:space="preserve">Full:</t>
  </si>
  <si>
    <t xml:space="preserve">Alyssa Sceppaguercio, LMHC-D*</t>
  </si>
  <si>
    <t xml:space="preserve">dissociation, athletes, LGBTQ+, trauma</t>
  </si>
  <si>
    <t xml:space="preserve">Not Taking:</t>
  </si>
  <si>
    <t xml:space="preserve">Angela Paz, LMHC</t>
  </si>
  <si>
    <t xml:space="preserve">SU, anxiety, depression</t>
  </si>
  <si>
    <t xml:space="preserve">CPS</t>
  </si>
  <si>
    <t xml:space="preserve">Total:</t>
  </si>
  <si>
    <t xml:space="preserve">Caroline O'Connell, LMHC</t>
  </si>
  <si>
    <t xml:space="preserve">trauma, addiction</t>
  </si>
  <si>
    <t xml:space="preserve">couples</t>
  </si>
  <si>
    <t xml:space="preserve">Christopher Scarallo, LMHC*</t>
  </si>
  <si>
    <t xml:space="preserve">ADHD, anxiety, depression</t>
  </si>
  <si>
    <t xml:space="preserve">In-person Mon/Wed in Commack, Fri in Jericho</t>
  </si>
  <si>
    <t xml:space="preserve">EMDR Certified:</t>
  </si>
  <si>
    <t xml:space="preserve">Cristina Porchetta, LMHC*</t>
  </si>
  <si>
    <t xml:space="preserve">anxiety, trauma</t>
  </si>
  <si>
    <t xml:space="preserve">In-Person:</t>
  </si>
  <si>
    <t xml:space="preserve">Danielle Denenberg, LMHC</t>
  </si>
  <si>
    <t xml:space="preserve">LGBTQ+, OCD</t>
  </si>
  <si>
    <t xml:space="preserve">SU</t>
  </si>
  <si>
    <t xml:space="preserve">Telehealth Only:</t>
  </si>
  <si>
    <t xml:space="preserve">Denise DeMattia, LMHC-D*</t>
  </si>
  <si>
    <t xml:space="preserve">EMDR clients ONLY</t>
  </si>
  <si>
    <t xml:space="preserve">Hybrid:</t>
  </si>
  <si>
    <t xml:space="preserve">Emily Ly, LMHC</t>
  </si>
  <si>
    <t xml:space="preserve">anxiety, depression, trauma, relationships, self-esteem</t>
  </si>
  <si>
    <t xml:space="preserve">Mon, Wed, Thu</t>
  </si>
  <si>
    <t xml:space="preserve">In-person Mon/Wed/Thu; telehealth Tue/Fri</t>
  </si>
  <si>
    <t xml:space="preserve">Ian Mealie, LMHC</t>
  </si>
  <si>
    <t xml:space="preserve">anxiety, depression, SU, trauma</t>
  </si>
  <si>
    <t xml:space="preserve">CBT</t>
  </si>
  <si>
    <t xml:space="preserve">Jacqueline Moon, LMHC-D*</t>
  </si>
  <si>
    <t xml:space="preserve">self-esteem, trauma, anxiety, OCD</t>
  </si>
  <si>
    <t xml:space="preserve">Jennifer Davidson, LMHC</t>
  </si>
  <si>
    <t xml:space="preserve">anxiety, depression</t>
  </si>
  <si>
    <t xml:space="preserve">Older therapist if clients prefer that</t>
  </si>
  <si>
    <t xml:space="preserve">Joseph DeNoyior, LMHC</t>
  </si>
  <si>
    <t xml:space="preserve">OCD, anxiety, depression, grief</t>
  </si>
  <si>
    <t xml:space="preserve">ERP</t>
  </si>
  <si>
    <t xml:space="preserve">Joylin Santos, LMHC*</t>
  </si>
  <si>
    <t xml:space="preserve">trauma, BPD, Bipolar</t>
  </si>
  <si>
    <t xml:space="preserve">CBT, DBT, Somatic</t>
  </si>
  <si>
    <t xml:space="preserve">Schizophrenia</t>
  </si>
  <si>
    <t xml:space="preserve">Kenneth Carroll, LMHC-D*</t>
  </si>
  <si>
    <t xml:space="preserve">LGBTQ+, BPD, couples</t>
  </si>
  <si>
    <t xml:space="preserve">Accepts severe; in-person Tue/Thu/Fri</t>
  </si>
  <si>
    <t xml:space="preserve">Michael McLarnon, LMHC*</t>
  </si>
  <si>
    <t xml:space="preserve">OCD</t>
  </si>
  <si>
    <t xml:space="preserve">In-person Mon/Wed/Thu; telehealth other days</t>
  </si>
  <si>
    <t xml:space="preserve">Nicole DeAngelis, LMHC</t>
  </si>
  <si>
    <t xml:space="preserve">depression, anxiety, LGBTQ+, Autism, trauma</t>
  </si>
  <si>
    <t xml:space="preserve">Qiuling (Shirley) Ren, LMHC*</t>
  </si>
  <si>
    <t xml:space="preserve">anxiety, depression, grief, trauma</t>
  </si>
  <si>
    <t xml:space="preserve">Bilingual: Chinese/Mandarin</t>
  </si>
  <si>
    <t xml:space="preserve">Robert Popp, LMHC</t>
  </si>
  <si>
    <t xml:space="preserve">OCD, ASD, eating disorders, severe</t>
  </si>
  <si>
    <t xml:space="preserve">NOTHING SEVERE</t>
  </si>
  <si>
    <t xml:space="preserve">Tara Massetti, LMHC-D*</t>
  </si>
  <si>
    <t xml:space="preserve">EMDR, CBT, Somatic</t>
  </si>
  <si>
    <t xml:space="preserve">Column</t>
  </si>
  <si>
    <t xml:space="preserve">What Goes Here</t>
  </si>
  <si>
    <t xml:space="preserve">Examples / Notes</t>
  </si>
  <si>
    <t xml:space="preserve">Full name with credentials</t>
  </si>
  <si>
    <t xml:space="preserve">Youngest patient age accepted (number)</t>
  </si>
  <si>
    <t xml:space="preserve">11, 13, 14, 16, 17, 18</t>
  </si>
  <si>
    <t xml:space="preserve">What they treat (comma-separated)</t>
  </si>
  <si>
    <t xml:space="preserve">anxiety, depression, trauma, OCD, ADHD, grief</t>
  </si>
  <si>
    <t xml:space="preserve">Therapeutic modalities (comma-separated)</t>
  </si>
  <si>
    <t xml:space="preserve">CBT, DBT, ERP, EMDR, Somatic</t>
  </si>
  <si>
    <t xml:space="preserve">What they explicitly won't treat (comma-separated)</t>
  </si>
  <si>
    <t xml:space="preserve">couples, SU, severe, Schizophrenia</t>
  </si>
  <si>
    <t xml:space="preserve">X if EMDR certified, blank if not</t>
  </si>
  <si>
    <t xml:space="preserve">Select from dropdown</t>
  </si>
  <si>
    <t xml:space="preserve">In-Person / Telehealth / Hybrid</t>
  </si>
  <si>
    <t xml:space="preserve">Which days they see patients in-office (Hybrid/In-Person only)</t>
  </si>
  <si>
    <t xml:space="preserve">Office location(s) — blank if telehealth only</t>
  </si>
  <si>
    <t xml:space="preserve">Commack, Jericho, Ronkonkoma</t>
  </si>
  <si>
    <t xml:space="preserve">Current intake status — select from dropdown</t>
  </si>
  <si>
    <t xml:space="preserve">Available / Full / Not Taking</t>
  </si>
  <si>
    <t xml:space="preserve">Freeform context (bilingual, EMDR only, etc.)</t>
  </si>
  <si>
    <t xml:space="preserve">Date this row was last edited (YYYY-MM-DD)</t>
  </si>
  <si>
    <t xml:space="preserve">2025-02-23</t>
  </si>
  <si>
    <t xml:space="preserve">Name or initials of who made the last change</t>
  </si>
  <si>
    <t xml:space="preserve">Admin, Sean, Maria</t>
  </si>
  <si>
    <t xml:space="preserve">Insurance cols</t>
  </si>
  <si>
    <t xml:space="preserve">X if in-network, blank if not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</si>
</sst>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AF8"/>
        <bgColor rgb="FFE2EFDA"/>
      </patternFill>
    </fill>
    <fill>
      <patternFill patternType="solid">
        <fgColor rgb="FFEBF5FB"/>
        <bgColor rgb="FFF2F3F4"/>
      </patternFill>
    </fill>
    <fill>
      <patternFill patternType="solid">
        <fgColor rgb="FFE2EFDA"/>
        <bgColor rgb="FFD6EAF8"/>
      </patternFill>
    </fill>
    <fill>
      <patternFill patternType="solid">
        <fgColor rgb="FFF5B7B1"/>
        <bgColor rgb="FFFF99CC"/>
      </patternFill>
    </fill>
    <fill>
      <patternFill patternType="solid">
        <fgColor rgb="FFFFFDE7"/>
        <bgColor rgb="FFFFFFFF"/>
      </patternFill>
    </fill>
    <fill>
      <patternFill patternType="solid">
        <fgColor rgb="FFF2F3F4"/>
        <bgColor rgb="FFEBF5FB"/>
      </patternFill>
    </fill>
    <fill>
      <patternFill patternType="solid">
        <fgColor rgb="FFFCE4EC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2F3F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FCE4EC"/>
      <rgbColor rgb="FF808080"/>
      <rgbColor rgb="FF9999FF"/>
      <rgbColor rgb="FF993366"/>
      <rgbColor rgb="FFFFFDE7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E2EFDA"/>
      <rgbColor rgb="FFF2F3F4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</row>
    <row r="5" customFormat="false" ht="15" hidden="false" customHeight="false" outlineLevel="0" collapsed="false">
      <c r="C5" s="0" t="s">
        <v>18</v>
      </c>
      <c r="D5" s="0" t="s">
        <v>19</v>
      </c>
    </row>
    <row r="6" customFormat="false" ht="15" hidden="false" customHeight="false" outlineLevel="0" collapsed="false">
      <c r="C6" s="0" t="s">
        <v>20</v>
      </c>
      <c r="D6" s="0" t="s">
        <v>21</v>
      </c>
    </row>
    <row r="7" customFormat="false" ht="15" hidden="false" customHeight="false" outlineLevel="0" collapsed="false">
      <c r="D7" s="0" t="s">
        <v>22</v>
      </c>
    </row>
    <row r="8" customFormat="false" ht="15" hidden="false" customHeight="false" outlineLevel="0" collapsed="false">
      <c r="D8" s="0" t="s">
        <v>23</v>
      </c>
    </row>
    <row r="9" customFormat="false" ht="15" hidden="false" customHeight="false" outlineLevel="0" collapsed="false">
      <c r="D9" s="0" t="s">
        <v>24</v>
      </c>
    </row>
    <row r="10" customFormat="false" ht="15" hidden="false" customHeight="false" outlineLevel="0" collapsed="false">
      <c r="D10" s="0" t="s">
        <v>25</v>
      </c>
    </row>
    <row r="11" customFormat="false" ht="15" hidden="false" customHeight="false" outlineLevel="0" collapsed="false">
      <c r="D11" s="0" t="s">
        <v>26</v>
      </c>
    </row>
    <row r="12" customFormat="false" ht="15" hidden="false" customHeight="false" outlineLevel="0" collapsed="false">
      <c r="D12" s="0" t="s">
        <v>27</v>
      </c>
    </row>
    <row r="13" customFormat="false" ht="15" hidden="false" customHeight="false" outlineLevel="0" collapsed="false">
      <c r="D13" s="0" t="s">
        <v>28</v>
      </c>
    </row>
    <row r="14" customFormat="false" ht="15" hidden="false" customHeight="false" outlineLevel="0" collapsed="false">
      <c r="D14" s="0" t="s">
        <v>29</v>
      </c>
    </row>
    <row r="15" customFormat="false" ht="15" hidden="false" customHeight="false" outlineLevel="0" collapsed="false">
      <c r="D15" s="0" t="s">
        <v>30</v>
      </c>
    </row>
    <row r="16" customFormat="false" ht="15" hidden="false" customHeight="false" outlineLevel="0" collapsed="false">
      <c r="D16" s="0" t="s">
        <v>31</v>
      </c>
    </row>
    <row r="17" customFormat="false" ht="15" hidden="false" customHeight="false" outlineLevel="0" collapsed="false">
      <c r="D17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5" min="4" style="0" width="24"/>
    <col collapsed="false" customWidth="true" hidden="false" outlineLevel="0" max="6" min="6" style="0" width="7"/>
    <col collapsed="false" customWidth="true" hidden="false" outlineLevel="0" max="7" min="7" style="0" width="13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32"/>
    <col collapsed="false" customWidth="true" hidden="false" outlineLevel="0" max="13" min="12" style="0" width="14"/>
    <col collapsed="false" customWidth="true" hidden="false" outlineLevel="0" max="23" min="14" style="0" width="11"/>
    <col collapsed="false" customWidth="true" hidden="false" outlineLevel="0" max="25" min="25" style="0" width="17"/>
    <col collapsed="false" customWidth="true" hidden="false" outlineLevel="0" max="26" min="26" style="0" width="8"/>
  </cols>
  <sheetData>
    <row r="1" customFormat="false" ht="31.5" hidden="false" customHeight="true" outlineLevel="0" collapsed="false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1</v>
      </c>
      <c r="H1" s="2" t="s">
        <v>39</v>
      </c>
      <c r="I1" s="2" t="s">
        <v>2</v>
      </c>
      <c r="J1" s="2" t="s">
        <v>0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Y1" s="3" t="s">
        <v>53</v>
      </c>
    </row>
    <row r="2" customFormat="false" ht="15" hidden="false" customHeight="false" outlineLevel="0" collapsed="false">
      <c r="A2" s="4" t="s">
        <v>54</v>
      </c>
      <c r="B2" s="5" t="n">
        <v>16</v>
      </c>
      <c r="C2" s="6" t="s">
        <v>55</v>
      </c>
      <c r="D2" s="6" t="s">
        <v>56</v>
      </c>
      <c r="E2" s="6"/>
      <c r="F2" s="7" t="s">
        <v>9</v>
      </c>
      <c r="G2" s="8" t="s">
        <v>11</v>
      </c>
      <c r="H2" s="9"/>
      <c r="I2" s="6"/>
      <c r="J2" s="10" t="s">
        <v>5</v>
      </c>
      <c r="K2" s="6"/>
      <c r="L2" s="11" t="s">
        <v>57</v>
      </c>
      <c r="M2" s="9" t="s">
        <v>58</v>
      </c>
      <c r="N2" s="9" t="s">
        <v>9</v>
      </c>
      <c r="O2" s="9" t="s">
        <v>9</v>
      </c>
      <c r="P2" s="9" t="s">
        <v>9</v>
      </c>
      <c r="Q2" s="9" t="s">
        <v>9</v>
      </c>
      <c r="R2" s="9" t="s">
        <v>9</v>
      </c>
      <c r="S2" s="9" t="s">
        <v>9</v>
      </c>
      <c r="T2" s="9" t="s">
        <v>9</v>
      </c>
      <c r="U2" s="9" t="s">
        <v>9</v>
      </c>
      <c r="V2" s="9" t="s">
        <v>9</v>
      </c>
      <c r="W2" s="9" t="s">
        <v>9</v>
      </c>
      <c r="Y2" s="12" t="s">
        <v>59</v>
      </c>
      <c r="Z2" s="13" t="n">
        <f aca="false">COUNTIF(J2:J22,"Available")</f>
        <v>18</v>
      </c>
    </row>
    <row r="3" customFormat="false" ht="15" hidden="false" customHeight="false" outlineLevel="0" collapsed="false">
      <c r="A3" s="4" t="s">
        <v>60</v>
      </c>
      <c r="B3" s="5" t="n">
        <v>14</v>
      </c>
      <c r="C3" s="6" t="s">
        <v>61</v>
      </c>
      <c r="D3" s="6" t="s">
        <v>62</v>
      </c>
      <c r="E3" s="14" t="s">
        <v>63</v>
      </c>
      <c r="F3" s="9"/>
      <c r="G3" s="10" t="s">
        <v>6</v>
      </c>
      <c r="H3" s="9" t="s">
        <v>32</v>
      </c>
      <c r="I3" s="6" t="s">
        <v>7</v>
      </c>
      <c r="J3" s="10" t="s">
        <v>5</v>
      </c>
      <c r="K3" s="6"/>
      <c r="L3" s="11" t="s">
        <v>57</v>
      </c>
      <c r="M3" s="9" t="s">
        <v>58</v>
      </c>
      <c r="N3" s="9" t="s">
        <v>9</v>
      </c>
      <c r="O3" s="9"/>
      <c r="P3" s="9" t="s">
        <v>9</v>
      </c>
      <c r="Q3" s="9"/>
      <c r="R3" s="9" t="s">
        <v>9</v>
      </c>
      <c r="S3" s="9"/>
      <c r="T3" s="9"/>
      <c r="U3" s="9"/>
      <c r="V3" s="9"/>
      <c r="W3" s="9"/>
      <c r="Y3" s="12" t="s">
        <v>64</v>
      </c>
      <c r="Z3" s="13" t="n">
        <f aca="false">COUNTIF(J2:J22,"Full")</f>
        <v>1</v>
      </c>
    </row>
    <row r="4" customFormat="false" ht="15" hidden="false" customHeight="false" outlineLevel="0" collapsed="false">
      <c r="A4" s="4" t="s">
        <v>65</v>
      </c>
      <c r="B4" s="5" t="n">
        <v>18</v>
      </c>
      <c r="C4" s="6" t="s">
        <v>66</v>
      </c>
      <c r="D4" s="6" t="s">
        <v>38</v>
      </c>
      <c r="E4" s="6"/>
      <c r="F4" s="7" t="s">
        <v>9</v>
      </c>
      <c r="G4" s="8" t="s">
        <v>11</v>
      </c>
      <c r="H4" s="9"/>
      <c r="I4" s="6"/>
      <c r="J4" s="10" t="s">
        <v>5</v>
      </c>
      <c r="K4" s="6"/>
      <c r="L4" s="11" t="s">
        <v>57</v>
      </c>
      <c r="M4" s="9" t="s">
        <v>58</v>
      </c>
      <c r="N4" s="9" t="s">
        <v>9</v>
      </c>
      <c r="O4" s="9"/>
      <c r="P4" s="9" t="s">
        <v>9</v>
      </c>
      <c r="Q4" s="9"/>
      <c r="R4" s="9"/>
      <c r="S4" s="9"/>
      <c r="T4" s="9"/>
      <c r="U4" s="9"/>
      <c r="V4" s="9"/>
      <c r="W4" s="9"/>
      <c r="Y4" s="12" t="s">
        <v>67</v>
      </c>
      <c r="Z4" s="13" t="n">
        <f aca="false">COUNTIF(J2:J22,"Not Taking")</f>
        <v>2</v>
      </c>
    </row>
    <row r="5" customFormat="false" ht="15" hidden="false" customHeight="false" outlineLevel="0" collapsed="false">
      <c r="A5" s="15" t="s">
        <v>68</v>
      </c>
      <c r="B5" s="5" t="n">
        <v>18</v>
      </c>
      <c r="C5" s="6" t="s">
        <v>69</v>
      </c>
      <c r="D5" s="6"/>
      <c r="E5" s="14" t="s">
        <v>70</v>
      </c>
      <c r="F5" s="9"/>
      <c r="G5" s="10" t="s">
        <v>6</v>
      </c>
      <c r="H5" s="9" t="s">
        <v>32</v>
      </c>
      <c r="I5" s="6" t="s">
        <v>7</v>
      </c>
      <c r="J5" s="16" t="s">
        <v>14</v>
      </c>
      <c r="K5" s="6"/>
      <c r="L5" s="11" t="s">
        <v>57</v>
      </c>
      <c r="M5" s="9" t="s">
        <v>58</v>
      </c>
      <c r="N5" s="9" t="s">
        <v>9</v>
      </c>
      <c r="O5" s="9"/>
      <c r="P5" s="9" t="s">
        <v>9</v>
      </c>
      <c r="Q5" s="9" t="s">
        <v>9</v>
      </c>
      <c r="R5" s="9" t="s">
        <v>9</v>
      </c>
      <c r="S5" s="9" t="s">
        <v>9</v>
      </c>
      <c r="T5" s="9"/>
      <c r="U5" s="9" t="s">
        <v>9</v>
      </c>
      <c r="V5" s="9" t="s">
        <v>9</v>
      </c>
      <c r="W5" s="9" t="s">
        <v>9</v>
      </c>
      <c r="Y5" s="12" t="s">
        <v>71</v>
      </c>
      <c r="Z5" s="13" t="n">
        <f aca="false">COUNTA(A2:A22)</f>
        <v>21</v>
      </c>
    </row>
    <row r="6" customFormat="false" ht="15" hidden="false" customHeight="false" outlineLevel="0" collapsed="false">
      <c r="A6" s="4" t="s">
        <v>72</v>
      </c>
      <c r="B6" s="5" t="n">
        <v>17</v>
      </c>
      <c r="C6" s="6" t="s">
        <v>73</v>
      </c>
      <c r="D6" s="6"/>
      <c r="E6" s="14" t="s">
        <v>74</v>
      </c>
      <c r="F6" s="9"/>
      <c r="G6" s="8" t="s">
        <v>11</v>
      </c>
      <c r="H6" s="9"/>
      <c r="I6" s="6"/>
      <c r="J6" s="10" t="s">
        <v>5</v>
      </c>
      <c r="K6" s="6"/>
      <c r="L6" s="11" t="s">
        <v>57</v>
      </c>
      <c r="M6" s="9" t="s">
        <v>58</v>
      </c>
      <c r="N6" s="9" t="s">
        <v>9</v>
      </c>
      <c r="O6" s="9"/>
      <c r="P6" s="9"/>
      <c r="Q6" s="9" t="s">
        <v>9</v>
      </c>
      <c r="R6" s="9" t="s">
        <v>9</v>
      </c>
      <c r="S6" s="9"/>
      <c r="T6" s="9"/>
      <c r="U6" s="9"/>
      <c r="V6" s="9"/>
      <c r="W6" s="9"/>
      <c r="Y6" s="12"/>
    </row>
    <row r="7" customFormat="false" ht="23.85" hidden="false" customHeight="false" outlineLevel="0" collapsed="false">
      <c r="A7" s="4" t="s">
        <v>75</v>
      </c>
      <c r="B7" s="5" t="n">
        <v>17</v>
      </c>
      <c r="C7" s="6" t="s">
        <v>76</v>
      </c>
      <c r="D7" s="6"/>
      <c r="E7" s="14" t="s">
        <v>74</v>
      </c>
      <c r="F7" s="9"/>
      <c r="G7" s="17" t="s">
        <v>15</v>
      </c>
      <c r="H7" s="18" t="s">
        <v>28</v>
      </c>
      <c r="I7" s="6" t="s">
        <v>18</v>
      </c>
      <c r="J7" s="10" t="s">
        <v>5</v>
      </c>
      <c r="K7" s="19" t="s">
        <v>77</v>
      </c>
      <c r="L7" s="11" t="s">
        <v>57</v>
      </c>
      <c r="M7" s="9" t="s">
        <v>58</v>
      </c>
      <c r="N7" s="9" t="s">
        <v>9</v>
      </c>
      <c r="O7" s="9" t="s">
        <v>9</v>
      </c>
      <c r="P7" s="9" t="s">
        <v>9</v>
      </c>
      <c r="Q7" s="9" t="s">
        <v>9</v>
      </c>
      <c r="R7" s="9" t="s">
        <v>9</v>
      </c>
      <c r="S7" s="9"/>
      <c r="T7" s="9"/>
      <c r="U7" s="9"/>
      <c r="V7" s="9"/>
      <c r="W7" s="9"/>
      <c r="Y7" s="12" t="s">
        <v>78</v>
      </c>
      <c r="Z7" s="13" t="n">
        <f aca="false">COUNTIF(F2:F22,"X")</f>
        <v>6</v>
      </c>
    </row>
    <row r="8" customFormat="false" ht="15" hidden="false" customHeight="false" outlineLevel="0" collapsed="false">
      <c r="A8" s="4" t="s">
        <v>79</v>
      </c>
      <c r="B8" s="5" t="n">
        <v>18</v>
      </c>
      <c r="C8" s="6" t="s">
        <v>80</v>
      </c>
      <c r="D8" s="6" t="s">
        <v>38</v>
      </c>
      <c r="E8" s="6"/>
      <c r="F8" s="7" t="s">
        <v>9</v>
      </c>
      <c r="G8" s="10" t="s">
        <v>6</v>
      </c>
      <c r="H8" s="9" t="s">
        <v>32</v>
      </c>
      <c r="I8" s="6" t="s">
        <v>12</v>
      </c>
      <c r="J8" s="10" t="s">
        <v>5</v>
      </c>
      <c r="K8" s="6"/>
      <c r="L8" s="11" t="s">
        <v>57</v>
      </c>
      <c r="M8" s="9" t="s">
        <v>58</v>
      </c>
      <c r="N8" s="9" t="s">
        <v>9</v>
      </c>
      <c r="O8" s="9"/>
      <c r="P8" s="9"/>
      <c r="Q8" s="9" t="s">
        <v>9</v>
      </c>
      <c r="R8" s="9" t="s">
        <v>9</v>
      </c>
      <c r="S8" s="9" t="s">
        <v>9</v>
      </c>
      <c r="T8" s="9" t="s">
        <v>9</v>
      </c>
      <c r="U8" s="9" t="s">
        <v>9</v>
      </c>
      <c r="V8" s="9" t="s">
        <v>9</v>
      </c>
      <c r="W8" s="9" t="s">
        <v>9</v>
      </c>
      <c r="Y8" s="12" t="s">
        <v>81</v>
      </c>
      <c r="Z8" s="13" t="n">
        <f aca="false">COUNTIF(G2:G22,"In-Person")</f>
        <v>9</v>
      </c>
    </row>
    <row r="9" customFormat="false" ht="15" hidden="false" customHeight="false" outlineLevel="0" collapsed="false">
      <c r="A9" s="4" t="s">
        <v>82</v>
      </c>
      <c r="B9" s="5" t="n">
        <v>13</v>
      </c>
      <c r="C9" s="6" t="s">
        <v>83</v>
      </c>
      <c r="D9" s="6"/>
      <c r="E9" s="14" t="s">
        <v>84</v>
      </c>
      <c r="F9" s="9"/>
      <c r="G9" s="10" t="s">
        <v>6</v>
      </c>
      <c r="H9" s="9" t="s">
        <v>32</v>
      </c>
      <c r="I9" s="6" t="s">
        <v>7</v>
      </c>
      <c r="J9" s="10" t="s">
        <v>5</v>
      </c>
      <c r="K9" s="6"/>
      <c r="L9" s="11" t="s">
        <v>57</v>
      </c>
      <c r="M9" s="9" t="s">
        <v>58</v>
      </c>
      <c r="N9" s="9" t="s">
        <v>9</v>
      </c>
      <c r="O9" s="9"/>
      <c r="P9" s="9"/>
      <c r="Q9" s="9"/>
      <c r="R9" s="9"/>
      <c r="S9" s="9"/>
      <c r="T9" s="9"/>
      <c r="U9" s="9"/>
      <c r="V9" s="9"/>
      <c r="W9" s="9"/>
      <c r="Y9" s="12" t="s">
        <v>85</v>
      </c>
      <c r="Z9" s="13" t="n">
        <f aca="false">COUNTIF(G2:G22,"Telehealth")</f>
        <v>7</v>
      </c>
    </row>
    <row r="10" customFormat="false" ht="15" hidden="false" customHeight="false" outlineLevel="0" collapsed="false">
      <c r="A10" s="4" t="s">
        <v>86</v>
      </c>
      <c r="B10" s="5" t="n">
        <v>16</v>
      </c>
      <c r="C10" s="6"/>
      <c r="D10" s="6" t="s">
        <v>38</v>
      </c>
      <c r="E10" s="6"/>
      <c r="F10" s="7" t="s">
        <v>9</v>
      </c>
      <c r="G10" s="8" t="s">
        <v>11</v>
      </c>
      <c r="H10" s="9"/>
      <c r="I10" s="6"/>
      <c r="J10" s="10" t="s">
        <v>5</v>
      </c>
      <c r="K10" s="19" t="s">
        <v>87</v>
      </c>
      <c r="L10" s="11" t="s">
        <v>57</v>
      </c>
      <c r="M10" s="9" t="s">
        <v>58</v>
      </c>
      <c r="N10" s="9" t="s">
        <v>9</v>
      </c>
      <c r="O10" s="9"/>
      <c r="P10" s="9" t="s">
        <v>9</v>
      </c>
      <c r="Q10" s="9"/>
      <c r="R10" s="9"/>
      <c r="S10" s="9"/>
      <c r="T10" s="9"/>
      <c r="U10" s="9"/>
      <c r="V10" s="9"/>
      <c r="W10" s="9"/>
      <c r="Y10" s="12" t="s">
        <v>88</v>
      </c>
      <c r="Z10" s="13" t="n">
        <f aca="false">COUNTIF(G2:G22,"Hybrid")</f>
        <v>5</v>
      </c>
    </row>
    <row r="11" customFormat="false" ht="23.85" hidden="false" customHeight="false" outlineLevel="0" collapsed="false">
      <c r="A11" s="4" t="s">
        <v>89</v>
      </c>
      <c r="B11" s="5" t="n">
        <v>16</v>
      </c>
      <c r="C11" s="6" t="s">
        <v>90</v>
      </c>
      <c r="D11" s="6"/>
      <c r="E11" s="14" t="s">
        <v>74</v>
      </c>
      <c r="F11" s="9"/>
      <c r="G11" s="17" t="s">
        <v>15</v>
      </c>
      <c r="H11" s="18" t="s">
        <v>91</v>
      </c>
      <c r="I11" s="6" t="s">
        <v>7</v>
      </c>
      <c r="J11" s="10" t="s">
        <v>5</v>
      </c>
      <c r="K11" s="19" t="s">
        <v>92</v>
      </c>
      <c r="L11" s="11" t="s">
        <v>57</v>
      </c>
      <c r="M11" s="9" t="s">
        <v>58</v>
      </c>
      <c r="N11" s="9" t="s">
        <v>9</v>
      </c>
      <c r="O11" s="9"/>
      <c r="P11" s="9"/>
      <c r="Q11" s="9" t="s">
        <v>9</v>
      </c>
      <c r="R11" s="9"/>
      <c r="S11" s="9" t="s">
        <v>9</v>
      </c>
      <c r="T11" s="9"/>
      <c r="U11" s="9"/>
      <c r="V11" s="9" t="s">
        <v>9</v>
      </c>
      <c r="W11" s="9"/>
    </row>
    <row r="12" customFormat="false" ht="15" hidden="false" customHeight="false" outlineLevel="0" collapsed="false">
      <c r="A12" s="4" t="s">
        <v>93</v>
      </c>
      <c r="B12" s="5" t="n">
        <v>18</v>
      </c>
      <c r="C12" s="6" t="s">
        <v>94</v>
      </c>
      <c r="D12" s="6" t="s">
        <v>95</v>
      </c>
      <c r="E12" s="6"/>
      <c r="F12" s="9"/>
      <c r="G12" s="10" t="s">
        <v>6</v>
      </c>
      <c r="H12" s="9" t="s">
        <v>32</v>
      </c>
      <c r="I12" s="6" t="s">
        <v>7</v>
      </c>
      <c r="J12" s="10" t="s">
        <v>5</v>
      </c>
      <c r="K12" s="6"/>
      <c r="L12" s="11" t="s">
        <v>57</v>
      </c>
      <c r="M12" s="9" t="s">
        <v>58</v>
      </c>
      <c r="N12" s="9" t="s">
        <v>9</v>
      </c>
      <c r="O12" s="9"/>
      <c r="P12" s="9"/>
      <c r="Q12" s="9" t="s">
        <v>9</v>
      </c>
      <c r="R12" s="9" t="s">
        <v>9</v>
      </c>
      <c r="S12" s="9"/>
      <c r="T12" s="9"/>
      <c r="U12" s="9"/>
      <c r="V12" s="9"/>
      <c r="W12" s="9"/>
    </row>
    <row r="13" customFormat="false" ht="15" hidden="false" customHeight="false" outlineLevel="0" collapsed="false">
      <c r="A13" s="4" t="s">
        <v>96</v>
      </c>
      <c r="B13" s="5" t="n">
        <v>18</v>
      </c>
      <c r="C13" s="6" t="s">
        <v>97</v>
      </c>
      <c r="D13" s="6" t="s">
        <v>38</v>
      </c>
      <c r="E13" s="6"/>
      <c r="F13" s="7" t="s">
        <v>9</v>
      </c>
      <c r="G13" s="8" t="s">
        <v>11</v>
      </c>
      <c r="H13" s="9"/>
      <c r="I13" s="6"/>
      <c r="J13" s="10" t="s">
        <v>5</v>
      </c>
      <c r="K13" s="6"/>
      <c r="L13" s="11" t="s">
        <v>57</v>
      </c>
      <c r="M13" s="9" t="s">
        <v>58</v>
      </c>
      <c r="N13" s="9" t="s">
        <v>9</v>
      </c>
      <c r="O13" s="9"/>
      <c r="P13" s="9" t="s">
        <v>9</v>
      </c>
      <c r="Q13" s="9"/>
      <c r="R13" s="9" t="s">
        <v>9</v>
      </c>
      <c r="S13" s="9" t="s">
        <v>9</v>
      </c>
      <c r="T13" s="9" t="s">
        <v>9</v>
      </c>
      <c r="U13" s="9" t="s">
        <v>9</v>
      </c>
      <c r="V13" s="9" t="s">
        <v>9</v>
      </c>
      <c r="W13" s="9"/>
    </row>
    <row r="14" customFormat="false" ht="15" hidden="false" customHeight="false" outlineLevel="0" collapsed="false">
      <c r="A14" s="4" t="s">
        <v>98</v>
      </c>
      <c r="B14" s="5" t="n">
        <v>18</v>
      </c>
      <c r="C14" s="6" t="s">
        <v>99</v>
      </c>
      <c r="D14" s="6"/>
      <c r="E14" s="6"/>
      <c r="F14" s="9"/>
      <c r="G14" s="8" t="s">
        <v>11</v>
      </c>
      <c r="H14" s="9"/>
      <c r="I14" s="6"/>
      <c r="J14" s="10" t="s">
        <v>5</v>
      </c>
      <c r="K14" s="19" t="s">
        <v>100</v>
      </c>
      <c r="L14" s="11" t="s">
        <v>57</v>
      </c>
      <c r="M14" s="9" t="s">
        <v>58</v>
      </c>
      <c r="N14" s="9" t="s">
        <v>9</v>
      </c>
      <c r="O14" s="9"/>
      <c r="P14" s="9"/>
      <c r="Q14" s="9"/>
      <c r="R14" s="9" t="s">
        <v>9</v>
      </c>
      <c r="S14" s="9"/>
      <c r="T14" s="9"/>
      <c r="U14" s="9"/>
      <c r="V14" s="9"/>
      <c r="W14" s="9"/>
    </row>
    <row r="15" customFormat="false" ht="15" hidden="false" customHeight="false" outlineLevel="0" collapsed="false">
      <c r="A15" s="20" t="s">
        <v>101</v>
      </c>
      <c r="B15" s="5" t="n">
        <v>13</v>
      </c>
      <c r="C15" s="6" t="s">
        <v>102</v>
      </c>
      <c r="D15" s="6" t="s">
        <v>103</v>
      </c>
      <c r="E15" s="6"/>
      <c r="F15" s="9"/>
      <c r="G15" s="10" t="s">
        <v>6</v>
      </c>
      <c r="H15" s="9" t="s">
        <v>32</v>
      </c>
      <c r="I15" s="6" t="s">
        <v>16</v>
      </c>
      <c r="J15" s="21" t="s">
        <v>10</v>
      </c>
      <c r="K15" s="6"/>
      <c r="L15" s="11" t="s">
        <v>57</v>
      </c>
      <c r="M15" s="9" t="s">
        <v>58</v>
      </c>
      <c r="N15" s="9" t="s">
        <v>9</v>
      </c>
      <c r="O15" s="9"/>
      <c r="P15" s="9" t="s">
        <v>9</v>
      </c>
      <c r="Q15" s="9" t="s">
        <v>9</v>
      </c>
      <c r="R15" s="9" t="s">
        <v>9</v>
      </c>
      <c r="S15" s="9"/>
      <c r="T15" s="9"/>
      <c r="U15" s="9"/>
      <c r="V15" s="9"/>
      <c r="W15" s="9"/>
    </row>
    <row r="16" customFormat="false" ht="15" hidden="false" customHeight="false" outlineLevel="0" collapsed="false">
      <c r="A16" s="4" t="s">
        <v>104</v>
      </c>
      <c r="B16" s="5" t="n">
        <v>18</v>
      </c>
      <c r="C16" s="6" t="s">
        <v>105</v>
      </c>
      <c r="D16" s="6" t="s">
        <v>106</v>
      </c>
      <c r="E16" s="14" t="s">
        <v>107</v>
      </c>
      <c r="F16" s="9"/>
      <c r="G16" s="8" t="s">
        <v>11</v>
      </c>
      <c r="H16" s="9"/>
      <c r="I16" s="6"/>
      <c r="J16" s="10" t="s">
        <v>5</v>
      </c>
      <c r="K16" s="6"/>
      <c r="L16" s="11" t="s">
        <v>57</v>
      </c>
      <c r="M16" s="9" t="s">
        <v>58</v>
      </c>
      <c r="N16" s="9" t="s">
        <v>9</v>
      </c>
      <c r="O16" s="9" t="s">
        <v>9</v>
      </c>
      <c r="P16" s="9"/>
      <c r="Q16" s="9"/>
      <c r="R16" s="9" t="s">
        <v>9</v>
      </c>
      <c r="S16" s="9" t="s">
        <v>9</v>
      </c>
      <c r="T16" s="9" t="s">
        <v>9</v>
      </c>
      <c r="U16" s="9" t="s">
        <v>9</v>
      </c>
      <c r="V16" s="9" t="s">
        <v>9</v>
      </c>
      <c r="W16" s="9"/>
    </row>
    <row r="17" customFormat="false" ht="15" hidden="false" customHeight="false" outlineLevel="0" collapsed="false">
      <c r="A17" s="4" t="s">
        <v>108</v>
      </c>
      <c r="B17" s="5" t="n">
        <v>11</v>
      </c>
      <c r="C17" s="6" t="s">
        <v>109</v>
      </c>
      <c r="D17" s="6" t="s">
        <v>62</v>
      </c>
      <c r="E17" s="6"/>
      <c r="F17" s="9"/>
      <c r="G17" s="17" t="s">
        <v>15</v>
      </c>
      <c r="H17" s="18" t="s">
        <v>29</v>
      </c>
      <c r="I17" s="6" t="s">
        <v>7</v>
      </c>
      <c r="J17" s="10" t="s">
        <v>5</v>
      </c>
      <c r="K17" s="19" t="s">
        <v>110</v>
      </c>
      <c r="L17" s="11" t="s">
        <v>57</v>
      </c>
      <c r="M17" s="9" t="s">
        <v>58</v>
      </c>
      <c r="N17" s="9" t="s">
        <v>9</v>
      </c>
      <c r="O17" s="9" t="s">
        <v>9</v>
      </c>
      <c r="P17" s="9"/>
      <c r="Q17" s="9" t="s">
        <v>9</v>
      </c>
      <c r="R17" s="9" t="s">
        <v>9</v>
      </c>
      <c r="S17" s="9" t="s">
        <v>9</v>
      </c>
      <c r="T17" s="9" t="s">
        <v>9</v>
      </c>
      <c r="U17" s="9" t="s">
        <v>9</v>
      </c>
      <c r="V17" s="9"/>
      <c r="W17" s="9"/>
    </row>
    <row r="18" customFormat="false" ht="23.85" hidden="false" customHeight="false" outlineLevel="0" collapsed="false">
      <c r="A18" s="4" t="s">
        <v>111</v>
      </c>
      <c r="B18" s="5" t="n">
        <v>16</v>
      </c>
      <c r="C18" s="6" t="s">
        <v>112</v>
      </c>
      <c r="D18" s="6" t="s">
        <v>62</v>
      </c>
      <c r="E18" s="6"/>
      <c r="F18" s="9"/>
      <c r="G18" s="17" t="s">
        <v>15</v>
      </c>
      <c r="H18" s="18" t="s">
        <v>91</v>
      </c>
      <c r="I18" s="6" t="s">
        <v>7</v>
      </c>
      <c r="J18" s="10" t="s">
        <v>5</v>
      </c>
      <c r="K18" s="19" t="s">
        <v>113</v>
      </c>
      <c r="L18" s="11" t="s">
        <v>57</v>
      </c>
      <c r="M18" s="9" t="s">
        <v>58</v>
      </c>
      <c r="N18" s="9" t="s">
        <v>9</v>
      </c>
      <c r="O18" s="9"/>
      <c r="P18" s="9" t="s">
        <v>9</v>
      </c>
      <c r="Q18" s="9" t="s">
        <v>9</v>
      </c>
      <c r="R18" s="9" t="s">
        <v>9</v>
      </c>
      <c r="S18" s="9" t="s">
        <v>9</v>
      </c>
      <c r="T18" s="9" t="s">
        <v>9</v>
      </c>
      <c r="U18" s="9" t="s">
        <v>9</v>
      </c>
      <c r="V18" s="9"/>
      <c r="W18" s="9"/>
    </row>
    <row r="19" customFormat="false" ht="15" hidden="false" customHeight="false" outlineLevel="0" collapsed="false">
      <c r="A19" s="4" t="s">
        <v>114</v>
      </c>
      <c r="B19" s="5" t="n">
        <v>18</v>
      </c>
      <c r="C19" s="6" t="s">
        <v>115</v>
      </c>
      <c r="D19" s="6"/>
      <c r="E19" s="6"/>
      <c r="F19" s="9"/>
      <c r="G19" s="10" t="s">
        <v>6</v>
      </c>
      <c r="H19" s="9" t="s">
        <v>32</v>
      </c>
      <c r="I19" s="6" t="s">
        <v>16</v>
      </c>
      <c r="J19" s="10" t="s">
        <v>5</v>
      </c>
      <c r="K19" s="6"/>
      <c r="L19" s="11" t="s">
        <v>57</v>
      </c>
      <c r="M19" s="9" t="s">
        <v>58</v>
      </c>
      <c r="N19" s="9" t="s">
        <v>9</v>
      </c>
      <c r="O19" s="9"/>
      <c r="P19" s="9"/>
      <c r="Q19" s="9" t="s">
        <v>9</v>
      </c>
      <c r="R19" s="9" t="s">
        <v>9</v>
      </c>
      <c r="S19" s="9"/>
      <c r="T19" s="9"/>
      <c r="U19" s="9"/>
      <c r="V19" s="9"/>
      <c r="W19" s="9"/>
    </row>
    <row r="20" customFormat="false" ht="15" hidden="false" customHeight="false" outlineLevel="0" collapsed="false">
      <c r="A20" s="4" t="s">
        <v>116</v>
      </c>
      <c r="B20" s="5" t="n">
        <v>11</v>
      </c>
      <c r="C20" s="6" t="s">
        <v>117</v>
      </c>
      <c r="D20" s="6" t="s">
        <v>62</v>
      </c>
      <c r="E20" s="6"/>
      <c r="F20" s="9"/>
      <c r="G20" s="10" t="s">
        <v>6</v>
      </c>
      <c r="H20" s="9" t="s">
        <v>32</v>
      </c>
      <c r="I20" s="6" t="s">
        <v>12</v>
      </c>
      <c r="J20" s="10" t="s">
        <v>5</v>
      </c>
      <c r="K20" s="19" t="s">
        <v>118</v>
      </c>
      <c r="L20" s="11" t="s">
        <v>57</v>
      </c>
      <c r="M20" s="9" t="s">
        <v>58</v>
      </c>
      <c r="N20" s="9" t="s">
        <v>9</v>
      </c>
      <c r="O20" s="9"/>
      <c r="P20" s="9"/>
      <c r="Q20" s="9" t="s">
        <v>9</v>
      </c>
      <c r="R20" s="9" t="s">
        <v>9</v>
      </c>
      <c r="S20" s="9"/>
      <c r="T20" s="9"/>
      <c r="U20" s="9"/>
      <c r="V20" s="9"/>
      <c r="W20" s="9"/>
    </row>
    <row r="21" customFormat="false" ht="23.85" hidden="false" customHeight="false" outlineLevel="0" collapsed="false">
      <c r="A21" s="15" t="s">
        <v>119</v>
      </c>
      <c r="B21" s="5" t="n">
        <v>18</v>
      </c>
      <c r="C21" s="6"/>
      <c r="D21" s="6"/>
      <c r="E21" s="14" t="s">
        <v>120</v>
      </c>
      <c r="F21" s="9"/>
      <c r="G21" s="17" t="s">
        <v>15</v>
      </c>
      <c r="H21" s="18" t="s">
        <v>23</v>
      </c>
      <c r="I21" s="6" t="s">
        <v>18</v>
      </c>
      <c r="J21" s="16" t="s">
        <v>14</v>
      </c>
      <c r="K21" s="19" t="s">
        <v>121</v>
      </c>
      <c r="L21" s="11" t="s">
        <v>57</v>
      </c>
      <c r="M21" s="9" t="s">
        <v>58</v>
      </c>
      <c r="N21" s="9" t="s">
        <v>9</v>
      </c>
      <c r="O21" s="9"/>
      <c r="P21" s="9" t="s">
        <v>9</v>
      </c>
      <c r="Q21" s="9" t="s">
        <v>9</v>
      </c>
      <c r="R21" s="9" t="s">
        <v>9</v>
      </c>
      <c r="S21" s="9" t="s">
        <v>9</v>
      </c>
      <c r="T21" s="9" t="s">
        <v>9</v>
      </c>
      <c r="U21" s="9" t="s">
        <v>9</v>
      </c>
      <c r="V21" s="9" t="s">
        <v>9</v>
      </c>
      <c r="W21" s="9" t="s">
        <v>9</v>
      </c>
    </row>
    <row r="22" customFormat="false" ht="15" hidden="false" customHeight="false" outlineLevel="0" collapsed="false">
      <c r="A22" s="4" t="s">
        <v>122</v>
      </c>
      <c r="B22" s="5" t="n">
        <v>14</v>
      </c>
      <c r="C22" s="6"/>
      <c r="D22" s="6" t="s">
        <v>123</v>
      </c>
      <c r="E22" s="14" t="s">
        <v>112</v>
      </c>
      <c r="F22" s="7" t="s">
        <v>9</v>
      </c>
      <c r="G22" s="10" t="s">
        <v>6</v>
      </c>
      <c r="H22" s="9" t="s">
        <v>32</v>
      </c>
      <c r="I22" s="6" t="s">
        <v>7</v>
      </c>
      <c r="J22" s="10" t="s">
        <v>5</v>
      </c>
      <c r="K22" s="6"/>
      <c r="L22" s="11" t="s">
        <v>57</v>
      </c>
      <c r="M22" s="9" t="s">
        <v>58</v>
      </c>
      <c r="N22" s="9" t="s">
        <v>9</v>
      </c>
      <c r="O22" s="9" t="s">
        <v>9</v>
      </c>
      <c r="P22" s="9"/>
      <c r="Q22" s="9"/>
      <c r="R22" s="9" t="s">
        <v>9</v>
      </c>
      <c r="S22" s="9"/>
      <c r="T22" s="9"/>
      <c r="U22" s="9"/>
      <c r="V22" s="9"/>
      <c r="W22" s="9"/>
    </row>
  </sheetData>
  <autoFilter ref="A1:W22"/>
  <dataValidations count="8">
    <dataValidation allowBlank="false" errorStyle="stop" operator="between" prompt="Select availability status" showDropDown="false" showErrorMessage="false" showInputMessage="false" sqref="J2:J22" type="list">
      <formula1>Lists!$A$2:$A$4</formula1>
      <formula2>0</formula2>
    </dataValidation>
    <dataValidation allowBlank="false" errorStyle="stop" operator="between" prompt="Select modality" showDropDown="false" showErrorMessage="false" showInputMessage="false" sqref="G2:G22" type="list">
      <formula1>Lists!$B$2:$B$4</formula1>
      <formula2>0</formula2>
    </dataValidation>
    <dataValidation allowBlank="true" errorStyle="stop" operator="between" prompt="Select location" showDropDown="false" showErrorMessage="false" showInputMessage="false" sqref="I2:I22" type="list">
      <formula1>Lists!$C$2:$C$6</formula1>
      <formula2>0</formula2>
    </dataValidation>
    <dataValidation allowBlank="true" errorStyle="stop" operator="between" prompt="Select in-person days (only for In-Person or Hybrid)" showDropDown="false" showErrorMessage="false" showInputMessage="false" sqref="H2:H22" type="list">
      <formula1>Lists!$D$2:$D$17</formula1>
      <formula2>0</formula2>
    </dataValidation>
    <dataValidation allowBlank="true" errorStyle="stop" operator="between" showDropDown="false" showErrorMessage="false" showInputMessage="false" sqref="F2:F22" type="list">
      <formula1>Lists!$E$2:$E$3</formula1>
      <formula2>0</formula2>
    </dataValidation>
    <dataValidation allowBlank="true" errorStyle="stop" operator="between" showDropDown="false" showErrorMessage="false" showInputMessage="false" sqref="N2:W22" type="list">
      <formula1>Lists!$E$2:$E$3</formula1>
      <formula2>0</formula2>
    </dataValidation>
    <dataValidation allowBlank="false" error="Enter age between 1 and 100" errorStyle="stop" operator="between" showDropDown="false" showErrorMessage="false" showInputMessage="false" sqref="B2:B22" type="whole">
      <formula1>1</formula1>
      <formula2>100</formula2>
    </dataValidation>
    <dataValidation allowBlank="false" error="Enter a valid date" errorStyle="stop" operator="greaterThan" showDropDown="false" showErrorMessage="false" showInputMessage="false" sqref="L2:L22" type="date">
      <formula1>"2020-01-01"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42"/>
  </cols>
  <sheetData>
    <row r="1" customFormat="false" ht="15" hidden="false" customHeight="false" outlineLevel="0" collapsed="false">
      <c r="A1" s="22" t="s">
        <v>124</v>
      </c>
      <c r="B1" s="22" t="s">
        <v>125</v>
      </c>
      <c r="C1" s="22" t="s">
        <v>126</v>
      </c>
    </row>
    <row r="2" customFormat="false" ht="15" hidden="false" customHeight="false" outlineLevel="0" collapsed="false">
      <c r="A2" s="6" t="s">
        <v>33</v>
      </c>
      <c r="B2" s="6" t="s">
        <v>127</v>
      </c>
      <c r="C2" s="6" t="s">
        <v>54</v>
      </c>
    </row>
    <row r="3" customFormat="false" ht="15" hidden="false" customHeight="false" outlineLevel="0" collapsed="false">
      <c r="A3" s="6" t="s">
        <v>34</v>
      </c>
      <c r="B3" s="6" t="s">
        <v>128</v>
      </c>
      <c r="C3" s="6" t="s">
        <v>129</v>
      </c>
    </row>
    <row r="4" customFormat="false" ht="15" hidden="false" customHeight="false" outlineLevel="0" collapsed="false">
      <c r="A4" s="6" t="s">
        <v>35</v>
      </c>
      <c r="B4" s="6" t="s">
        <v>130</v>
      </c>
      <c r="C4" s="6" t="s">
        <v>131</v>
      </c>
    </row>
    <row r="5" customFormat="false" ht="15" hidden="false" customHeight="false" outlineLevel="0" collapsed="false">
      <c r="A5" s="6" t="s">
        <v>36</v>
      </c>
      <c r="B5" s="6" t="s">
        <v>132</v>
      </c>
      <c r="C5" s="6" t="s">
        <v>133</v>
      </c>
    </row>
    <row r="6" customFormat="false" ht="15" hidden="false" customHeight="false" outlineLevel="0" collapsed="false">
      <c r="A6" s="6" t="s">
        <v>37</v>
      </c>
      <c r="B6" s="6" t="s">
        <v>134</v>
      </c>
      <c r="C6" s="6" t="s">
        <v>135</v>
      </c>
    </row>
    <row r="7" customFormat="false" ht="15" hidden="false" customHeight="false" outlineLevel="0" collapsed="false">
      <c r="A7" s="6" t="s">
        <v>38</v>
      </c>
      <c r="B7" s="6" t="s">
        <v>136</v>
      </c>
      <c r="C7" s="6" t="s">
        <v>9</v>
      </c>
    </row>
    <row r="8" customFormat="false" ht="15" hidden="false" customHeight="false" outlineLevel="0" collapsed="false">
      <c r="A8" s="6" t="s">
        <v>1</v>
      </c>
      <c r="B8" s="6" t="s">
        <v>137</v>
      </c>
      <c r="C8" s="6" t="s">
        <v>138</v>
      </c>
    </row>
    <row r="9" customFormat="false" ht="23.85" hidden="false" customHeight="false" outlineLevel="0" collapsed="false">
      <c r="A9" s="6" t="s">
        <v>39</v>
      </c>
      <c r="B9" s="6" t="s">
        <v>139</v>
      </c>
      <c r="C9" s="6" t="s">
        <v>28</v>
      </c>
    </row>
    <row r="10" customFormat="false" ht="15" hidden="false" customHeight="false" outlineLevel="0" collapsed="false">
      <c r="A10" s="6" t="s">
        <v>2</v>
      </c>
      <c r="B10" s="6" t="s">
        <v>140</v>
      </c>
      <c r="C10" s="6" t="s">
        <v>141</v>
      </c>
    </row>
    <row r="11" customFormat="false" ht="15" hidden="false" customHeight="false" outlineLevel="0" collapsed="false">
      <c r="A11" s="6" t="s">
        <v>0</v>
      </c>
      <c r="B11" s="6" t="s">
        <v>142</v>
      </c>
      <c r="C11" s="6" t="s">
        <v>143</v>
      </c>
    </row>
    <row r="12" customFormat="false" ht="15" hidden="false" customHeight="false" outlineLevel="0" collapsed="false">
      <c r="A12" s="6" t="s">
        <v>40</v>
      </c>
      <c r="B12" s="6" t="s">
        <v>144</v>
      </c>
      <c r="C12" s="6" t="s">
        <v>118</v>
      </c>
    </row>
    <row r="13" customFormat="false" ht="15" hidden="false" customHeight="false" outlineLevel="0" collapsed="false">
      <c r="A13" s="6" t="s">
        <v>41</v>
      </c>
      <c r="B13" s="6" t="s">
        <v>145</v>
      </c>
      <c r="C13" s="6" t="s">
        <v>146</v>
      </c>
    </row>
    <row r="14" customFormat="false" ht="15" hidden="false" customHeight="false" outlineLevel="0" collapsed="false">
      <c r="A14" s="6" t="s">
        <v>42</v>
      </c>
      <c r="B14" s="6" t="s">
        <v>147</v>
      </c>
      <c r="C14" s="6" t="s">
        <v>148</v>
      </c>
    </row>
    <row r="15" customFormat="false" ht="15" hidden="false" customHeight="false" outlineLevel="0" collapsed="false">
      <c r="A15" s="6" t="s">
        <v>149</v>
      </c>
      <c r="B15" s="6" t="s">
        <v>150</v>
      </c>
      <c r="C15" s="6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2026-02-23T00:38:08Z</dcterms:created>
  <dc:creator>openpyxl</dc:creator>
  <dc:description/>
  <dc:language>en-US</dc:language>
  <cp:lastModifiedBy/>
  <dcterms:modified xsi:type="dcterms:W3CDTF">2026-02-23T00:38:08Z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